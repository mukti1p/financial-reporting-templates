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nc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[Red](#,##0.00)"/>
    <numFmt numFmtId="165" formatCode="0.0%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65" fontId="0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Financial Variance Analysis Template</t>
        </is>
      </c>
    </row>
    <row r="2">
      <c r="A2" s="2" t="inlineStr">
        <is>
          <t>ABC Manufacturing Ltd. | Hypothetical portfolio project</t>
        </is>
      </c>
    </row>
    <row r="4">
      <c r="A4" s="3" t="inlineStr">
        <is>
          <t>Metric</t>
        </is>
      </c>
      <c r="B4" s="3" t="inlineStr">
        <is>
          <t>Actual</t>
        </is>
      </c>
      <c r="C4" s="3" t="inlineStr">
        <is>
          <t>Budget</t>
        </is>
      </c>
      <c r="D4" s="3" t="inlineStr">
        <is>
          <t>Prior Period</t>
        </is>
      </c>
      <c r="E4" s="3" t="inlineStr">
        <is>
          <t>Budget Variance</t>
        </is>
      </c>
      <c r="F4" s="3" t="inlineStr">
        <is>
          <t>Variance %</t>
        </is>
      </c>
      <c r="G4" s="3" t="inlineStr">
        <is>
          <t>Status</t>
        </is>
      </c>
      <c r="H4" s="3" t="inlineStr">
        <is>
          <t>Management Commentary</t>
        </is>
      </c>
    </row>
    <row r="5">
      <c r="A5" s="4" t="inlineStr">
        <is>
          <t>Revenue</t>
        </is>
      </c>
      <c r="B5" s="5" t="n">
        <v>12500000</v>
      </c>
      <c r="C5" s="5" t="n">
        <v>11800000</v>
      </c>
      <c r="D5" s="5" t="n">
        <v>11200000</v>
      </c>
      <c r="E5" s="5">
        <f>B5-C5</f>
        <v/>
      </c>
      <c r="F5" s="6">
        <f>IFERROR(E5/C5,0)</f>
        <v/>
      </c>
      <c r="G5" s="4">
        <f>IF(E5&gt;0,"Favourable",IF(E5&lt;0,"Unfavourable","On Budget"))</f>
        <v/>
      </c>
      <c r="H5" s="4" t="inlineStr">
        <is>
          <t>Higher sales volume</t>
        </is>
      </c>
    </row>
    <row r="6">
      <c r="A6" s="4" t="inlineStr">
        <is>
          <t>Cost of Sales</t>
        </is>
      </c>
      <c r="B6" s="5" t="n">
        <v>7200000</v>
      </c>
      <c r="C6" s="5" t="n">
        <v>6800000</v>
      </c>
      <c r="D6" s="5" t="n">
        <v>6500000</v>
      </c>
      <c r="E6" s="5">
        <f>B6-C6</f>
        <v/>
      </c>
      <c r="F6" s="6">
        <f>IFERROR(E6/C6,0)</f>
        <v/>
      </c>
      <c r="G6" s="4">
        <f>IF(E6&gt;0,"Favourable",IF(E6&lt;0,"Unfavourable","On Budget"))</f>
        <v/>
      </c>
      <c r="H6" s="4" t="inlineStr">
        <is>
          <t>Input cost pressure</t>
        </is>
      </c>
    </row>
    <row r="7">
      <c r="A7" s="4" t="inlineStr">
        <is>
          <t>Gross Profit</t>
        </is>
      </c>
      <c r="B7" s="5" t="n">
        <v>5300000</v>
      </c>
      <c r="C7" s="5" t="n">
        <v>5000000</v>
      </c>
      <c r="D7" s="5" t="n">
        <v>4700000</v>
      </c>
      <c r="E7" s="5">
        <f>B7-C7</f>
        <v/>
      </c>
      <c r="F7" s="6">
        <f>IFERROR(E7/C7,0)</f>
        <v/>
      </c>
      <c r="G7" s="4">
        <f>IF(E7&gt;0,"Favourable",IF(E7&lt;0,"Unfavourable","On Budget"))</f>
        <v/>
      </c>
      <c r="H7" s="4" t="inlineStr">
        <is>
          <t>Improved contribution</t>
        </is>
      </c>
    </row>
    <row r="8">
      <c r="A8" s="4" t="inlineStr">
        <is>
          <t>Operating Expenses</t>
        </is>
      </c>
      <c r="B8" s="5" t="n">
        <v>2100000</v>
      </c>
      <c r="C8" s="5" t="n">
        <v>2300000</v>
      </c>
      <c r="D8" s="5" t="n">
        <v>2200000</v>
      </c>
      <c r="E8" s="5">
        <f>B8-C8</f>
        <v/>
      </c>
      <c r="F8" s="6">
        <f>IFERROR(E8/C8,0)</f>
        <v/>
      </c>
      <c r="G8" s="4">
        <f>IF(E8&gt;0,"Favourable",IF(E8&lt;0,"Unfavourable","On Budget"))</f>
        <v/>
      </c>
      <c r="H8" s="4" t="inlineStr">
        <is>
          <t>Cost control</t>
        </is>
      </c>
    </row>
    <row r="9">
      <c r="A9" s="4" t="inlineStr">
        <is>
          <t>EBITDA</t>
        </is>
      </c>
      <c r="B9" s="5" t="n">
        <v>3200000</v>
      </c>
      <c r="C9" s="5" t="n">
        <v>2700000</v>
      </c>
      <c r="D9" s="5" t="n">
        <v>2500000</v>
      </c>
      <c r="E9" s="5">
        <f>B9-C9</f>
        <v/>
      </c>
      <c r="F9" s="6">
        <f>IFERROR(E9/C9,0)</f>
        <v/>
      </c>
      <c r="G9" s="4">
        <f>IF(E9&gt;0,"Favourable",IF(E9&lt;0,"Unfavourable","On Budget"))</f>
        <v/>
      </c>
      <c r="H9" s="4" t="inlineStr">
        <is>
          <t>Operating leverage</t>
        </is>
      </c>
    </row>
    <row r="10">
      <c r="A10" s="4" t="inlineStr">
        <is>
          <t>Net Profit</t>
        </is>
      </c>
      <c r="B10" s="5" t="n">
        <v>2402000</v>
      </c>
      <c r="C10" s="5" t="n">
        <v>2000000</v>
      </c>
      <c r="D10" s="5" t="n">
        <v>1960000</v>
      </c>
      <c r="E10" s="5">
        <f>B10-C10</f>
        <v/>
      </c>
      <c r="F10" s="6">
        <f>IFERROR(E10/C10,0)</f>
        <v/>
      </c>
      <c r="G10" s="4">
        <f>IF(E10&gt;0,"Favourable",IF(E10&lt;0,"Unfavourable","On Budget"))</f>
        <v/>
      </c>
      <c r="H10" s="4" t="inlineStr">
        <is>
          <t>Improved profitability</t>
        </is>
      </c>
    </row>
    <row r="11">
      <c r="A11" s="4" t="inlineStr">
        <is>
          <t>Closing Cash</t>
        </is>
      </c>
      <c r="B11" s="5" t="n">
        <v>4100000</v>
      </c>
      <c r="C11" s="5" t="n">
        <v>3950000</v>
      </c>
      <c r="D11" s="5" t="n">
        <v>3500000</v>
      </c>
      <c r="E11" s="5">
        <f>B11-C11</f>
        <v/>
      </c>
      <c r="F11" s="6">
        <f>IFERROR(E11/C11,0)</f>
        <v/>
      </c>
      <c r="G11" s="4">
        <f>IF(E11&gt;0,"Favourable",IF(E11&lt;0,"Unfavourable","On Budget"))</f>
        <v/>
      </c>
      <c r="H11" s="4" t="inlineStr">
        <is>
          <t>Stronger operating cash flow</t>
        </is>
      </c>
    </row>
    <row r="14">
      <c r="A14" t="inlineStr">
        <is>
          <t>Materiality Threshold</t>
        </is>
      </c>
      <c r="B14" s="7" t="n">
        <v>0.05</v>
      </c>
    </row>
    <row r="15">
      <c r="A15" s="4" t="inlineStr">
        <is>
          <t>Analyst Guidance</t>
        </is>
      </c>
      <c r="B15" s="8" t="inlineStr">
        <is>
          <t>Investigate variances exceeding 5% and document the business driver.</t>
        </is>
      </c>
      <c r="C15" s="4" t="n"/>
      <c r="D15" s="4" t="n"/>
      <c r="E15" s="4" t="n"/>
      <c r="F15" s="4" t="n"/>
      <c r="G15" s="4" t="n"/>
      <c r="H15" s="4" t="n"/>
    </row>
    <row r="16"/>
  </sheetData>
  <mergeCells count="3">
    <mergeCell ref="B15:H16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2026-08-19T06:02:46Z</dcterms:created>
  <dcterms:modified xmlns:dcterms="http://purl.org/dc/terms/" xmlns:xsi="http://www.w3.org/2001/XMLSchema-instance" xsi:type="dcterms:W3CDTF">2026-08-19T06:02:46Z</dcterms:modified>
</cp:coreProperties>
</file>