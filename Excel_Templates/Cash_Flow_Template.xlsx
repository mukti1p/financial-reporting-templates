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Cash Flow Statement Template</t>
        </is>
      </c>
    </row>
    <row r="2">
      <c r="A2" s="2" t="inlineStr">
        <is>
          <t>ABC Manufacturing Ltd. | Hypothetical portfolio project</t>
        </is>
      </c>
    </row>
    <row r="4">
      <c r="A4" s="3" t="inlineStr">
        <is>
          <t>Particulars</t>
        </is>
      </c>
      <c r="B4" s="3" t="inlineStr">
        <is>
          <t>Actual</t>
        </is>
      </c>
      <c r="C4" s="3" t="inlineStr">
        <is>
          <t>Budget</t>
        </is>
      </c>
      <c r="D4" s="3" t="inlineStr">
        <is>
          <t>Variance</t>
        </is>
      </c>
      <c r="E4" s="3" t="inlineStr">
        <is>
          <t>Variance %</t>
        </is>
      </c>
      <c r="F4" s="3" t="inlineStr">
        <is>
          <t>Commentary</t>
        </is>
      </c>
    </row>
    <row r="5">
      <c r="A5" s="4" t="inlineStr">
        <is>
          <t>Cash Flow from Operating Activities</t>
        </is>
      </c>
      <c r="B5" s="5" t="n"/>
      <c r="C5" s="5" t="n"/>
      <c r="D5" s="5">
        <f>B5-C5</f>
        <v/>
      </c>
      <c r="E5" s="6">
        <f>IFERROR(D5/ABS(C5),0)</f>
        <v/>
      </c>
      <c r="F5" s="4" t="n"/>
    </row>
    <row r="6">
      <c r="A6" s="7" t="inlineStr">
        <is>
          <t>Net Profit</t>
        </is>
      </c>
      <c r="B6" s="8" t="n">
        <v>2402000</v>
      </c>
      <c r="C6" s="8" t="n">
        <v>2000000</v>
      </c>
      <c r="D6" s="8">
        <f>B6-C6</f>
        <v/>
      </c>
      <c r="E6" s="9">
        <f>IFERROR(D6/ABS(C6),0)</f>
        <v/>
      </c>
      <c r="F6" s="7" t="n"/>
    </row>
    <row r="7">
      <c r="A7" s="7" t="inlineStr">
        <is>
          <t>Depreciation</t>
        </is>
      </c>
      <c r="B7" s="8" t="n">
        <v>550000</v>
      </c>
      <c r="C7" s="8" t="n">
        <v>520000</v>
      </c>
      <c r="D7" s="8">
        <f>B7-C7</f>
        <v/>
      </c>
      <c r="E7" s="9">
        <f>IFERROR(D7/ABS(C7),0)</f>
        <v/>
      </c>
      <c r="F7" s="7" t="n"/>
    </row>
    <row r="8">
      <c r="A8" s="7" t="inlineStr">
        <is>
          <t>Change in Working Capital</t>
        </is>
      </c>
      <c r="B8" s="8" t="n">
        <v>-450000</v>
      </c>
      <c r="C8" s="8" t="n">
        <v>-300000</v>
      </c>
      <c r="D8" s="8">
        <f>B8-C8</f>
        <v/>
      </c>
      <c r="E8" s="9">
        <f>IFERROR(D8/ABS(C8),0)</f>
        <v/>
      </c>
      <c r="F8" s="7" t="n"/>
    </row>
    <row r="9">
      <c r="A9" s="4" t="inlineStr">
        <is>
          <t>Net Cash from Operating Activities</t>
        </is>
      </c>
      <c r="B9" s="5">
        <f>SUM(B6:B8)</f>
        <v/>
      </c>
      <c r="C9" s="5">
        <f>SUM(C6:C8)</f>
        <v/>
      </c>
      <c r="D9" s="5">
        <f>B9-C9</f>
        <v/>
      </c>
      <c r="E9" s="6">
        <f>IFERROR(D9/ABS(C9),0)</f>
        <v/>
      </c>
      <c r="F9" s="4" t="n"/>
    </row>
    <row r="10">
      <c r="A10" s="4" t="inlineStr">
        <is>
          <t>Cash Flow from Investing Activities</t>
        </is>
      </c>
      <c r="B10" s="5" t="n"/>
      <c r="C10" s="5" t="n"/>
      <c r="D10" s="5">
        <f>B10-C10</f>
        <v/>
      </c>
      <c r="E10" s="6">
        <f>IFERROR(D10/ABS(C10),0)</f>
        <v/>
      </c>
      <c r="F10" s="4" t="n"/>
    </row>
    <row r="11">
      <c r="A11" s="7" t="inlineStr">
        <is>
          <t>Purchase of PPE</t>
        </is>
      </c>
      <c r="B11" s="8" t="n">
        <v>-1100000</v>
      </c>
      <c r="C11" s="8" t="n">
        <v>-900000</v>
      </c>
      <c r="D11" s="8">
        <f>B11-C11</f>
        <v/>
      </c>
      <c r="E11" s="9">
        <f>IFERROR(D11/ABS(C11),0)</f>
        <v/>
      </c>
      <c r="F11" s="7" t="n"/>
    </row>
    <row r="12">
      <c r="A12" s="7" t="inlineStr">
        <is>
          <t>Purchase of Investments</t>
        </is>
      </c>
      <c r="B12" s="8" t="n">
        <v>-150000</v>
      </c>
      <c r="C12" s="8" t="n">
        <v>-100000</v>
      </c>
      <c r="D12" s="8">
        <f>B12-C12</f>
        <v/>
      </c>
      <c r="E12" s="9">
        <f>IFERROR(D12/ABS(C12),0)</f>
        <v/>
      </c>
      <c r="F12" s="7" t="n"/>
    </row>
    <row r="13">
      <c r="A13" s="4" t="inlineStr">
        <is>
          <t>Net Cash from Investing Activities</t>
        </is>
      </c>
      <c r="B13" s="5">
        <f>SUM(B11:B12)</f>
        <v/>
      </c>
      <c r="C13" s="5">
        <f>SUM(C11:C12)</f>
        <v/>
      </c>
      <c r="D13" s="5">
        <f>B13-C13</f>
        <v/>
      </c>
      <c r="E13" s="6">
        <f>IFERROR(D13/ABS(C13),0)</f>
        <v/>
      </c>
      <c r="F13" s="4" t="n"/>
    </row>
    <row r="14">
      <c r="A14" s="4" t="inlineStr">
        <is>
          <t>Cash Flow from Financing Activities</t>
        </is>
      </c>
      <c r="B14" s="5" t="n"/>
      <c r="C14" s="5" t="n"/>
      <c r="D14" s="5">
        <f>B14-C14</f>
        <v/>
      </c>
      <c r="E14" s="6">
        <f>IFERROR(D14/ABS(C14),0)</f>
        <v/>
      </c>
      <c r="F14" s="4" t="n"/>
    </row>
    <row r="15">
      <c r="A15" s="7" t="inlineStr">
        <is>
          <t>Debt Proceeds</t>
        </is>
      </c>
      <c r="B15" s="8" t="n">
        <v>600000</v>
      </c>
      <c r="C15" s="8" t="n">
        <v>500000</v>
      </c>
      <c r="D15" s="8">
        <f>B15-C15</f>
        <v/>
      </c>
      <c r="E15" s="9">
        <f>IFERROR(D15/ABS(C15),0)</f>
        <v/>
      </c>
      <c r="F15" s="7" t="n"/>
    </row>
    <row r="16">
      <c r="A16" s="7" t="inlineStr">
        <is>
          <t>Debt Repayment</t>
        </is>
      </c>
      <c r="B16" s="8" t="n">
        <v>-300000</v>
      </c>
      <c r="C16" s="8" t="n">
        <v>-250000</v>
      </c>
      <c r="D16" s="8">
        <f>B16-C16</f>
        <v/>
      </c>
      <c r="E16" s="9">
        <f>IFERROR(D16/ABS(C16),0)</f>
        <v/>
      </c>
      <c r="F16" s="7" t="n"/>
    </row>
    <row r="17">
      <c r="A17" s="7" t="inlineStr">
        <is>
          <t>Dividends Paid</t>
        </is>
      </c>
      <c r="B17" s="8" t="n">
        <v>-200000</v>
      </c>
      <c r="C17" s="8" t="n">
        <v>-150000</v>
      </c>
      <c r="D17" s="8">
        <f>B17-C17</f>
        <v/>
      </c>
      <c r="E17" s="9">
        <f>IFERROR(D17/ABS(C17),0)</f>
        <v/>
      </c>
      <c r="F17" s="7" t="n"/>
    </row>
    <row r="18">
      <c r="A18" s="4" t="inlineStr">
        <is>
          <t>Net Cash from Financing Activities</t>
        </is>
      </c>
      <c r="B18" s="5">
        <f>SUM(B15:B17)</f>
        <v/>
      </c>
      <c r="C18" s="5">
        <f>SUM(C15:C17)</f>
        <v/>
      </c>
      <c r="D18" s="5">
        <f>B18-C18</f>
        <v/>
      </c>
      <c r="E18" s="6">
        <f>IFERROR(D18/ABS(C18),0)</f>
        <v/>
      </c>
      <c r="F18" s="4" t="n"/>
    </row>
    <row r="19">
      <c r="A19" s="4" t="inlineStr">
        <is>
          <t>Net Change in Cash</t>
        </is>
      </c>
      <c r="B19" s="5">
        <f>B9+B13+B18</f>
        <v/>
      </c>
      <c r="C19" s="5">
        <f>C9+C13+C18</f>
        <v/>
      </c>
      <c r="D19" s="5">
        <f>B19-C19</f>
        <v/>
      </c>
      <c r="E19" s="6">
        <f>IFERROR(D19/ABS(C19),0)</f>
        <v/>
      </c>
      <c r="F19" s="4" t="n"/>
    </row>
    <row r="20">
      <c r="A20" s="4" t="inlineStr">
        <is>
          <t>Opening Cash Balance</t>
        </is>
      </c>
      <c r="B20" s="5" t="n">
        <v>3500000</v>
      </c>
      <c r="C20" s="5" t="n">
        <v>3500000</v>
      </c>
      <c r="D20" s="5">
        <f>B20-C20</f>
        <v/>
      </c>
      <c r="E20" s="6">
        <f>IFERROR(D20/ABS(C20),0)</f>
        <v/>
      </c>
      <c r="F20" s="4" t="n"/>
    </row>
    <row r="21">
      <c r="A21" s="7" t="inlineStr">
        <is>
          <t>Closing Cash Balance</t>
        </is>
      </c>
      <c r="B21" s="8">
        <f>B20+B21</f>
        <v/>
      </c>
      <c r="C21" s="8">
        <f>C20+C21</f>
        <v/>
      </c>
      <c r="D21" s="8">
        <f>B21-C21</f>
        <v/>
      </c>
      <c r="E21" s="9">
        <f>IFERROR(D21/ABS(C21),0)</f>
        <v/>
      </c>
      <c r="F21" s="7" t="n"/>
    </row>
    <row r="22">
      <c r="A22" s="10" t="n"/>
      <c r="B22" s="10" t="n"/>
      <c r="C22" s="10" t="n"/>
      <c r="D22" s="10" t="n"/>
      <c r="E22" s="10" t="n"/>
      <c r="F22" s="10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2026-08-19T06:02:46Z</dcterms:created>
  <dcterms:modified xmlns:dcterms="http://purl.org/dc/terms/" xmlns:xsi="http://www.w3.org/2001/XMLSchema-instance" xsi:type="dcterms:W3CDTF">2026-08-19T06:02:46Z</dcterms:modified>
</cp:coreProperties>
</file>