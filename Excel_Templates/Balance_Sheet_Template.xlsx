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Balance Sheet Template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Particulars</t>
        </is>
      </c>
      <c r="B4" s="3" t="inlineStr">
        <is>
          <t>Current Period</t>
        </is>
      </c>
      <c r="C4" s="3" t="inlineStr">
        <is>
          <t>Prior Period</t>
        </is>
      </c>
      <c r="D4" s="3" t="inlineStr">
        <is>
          <t>Movement</t>
        </is>
      </c>
      <c r="E4" s="3" t="inlineStr">
        <is>
          <t>Movement %</t>
        </is>
      </c>
      <c r="F4" s="3" t="inlineStr">
        <is>
          <t>Notes</t>
        </is>
      </c>
    </row>
    <row r="5">
      <c r="A5" s="4" t="inlineStr">
        <is>
          <t>Non-current Assets</t>
        </is>
      </c>
      <c r="B5" s="5" t="n"/>
      <c r="C5" s="5" t="n"/>
      <c r="D5" s="5" t="n"/>
      <c r="E5" s="6" t="n"/>
      <c r="F5" s="4" t="n"/>
    </row>
    <row r="6">
      <c r="A6" s="7" t="inlineStr">
        <is>
          <t>Property, Plant &amp; Equipment</t>
        </is>
      </c>
      <c r="B6" s="8" t="n">
        <v>8200000</v>
      </c>
      <c r="C6" s="8" t="n">
        <v>7600000</v>
      </c>
      <c r="D6" s="8">
        <f>B6-C6</f>
        <v/>
      </c>
      <c r="E6" s="9">
        <f>IFERROR(D6/C6,0)</f>
        <v/>
      </c>
      <c r="F6" s="7" t="n"/>
    </row>
    <row r="7">
      <c r="A7" s="7" t="inlineStr">
        <is>
          <t>Intangible Assets</t>
        </is>
      </c>
      <c r="B7" s="8" t="n">
        <v>1200000</v>
      </c>
      <c r="C7" s="8" t="n">
        <v>1100000</v>
      </c>
      <c r="D7" s="8">
        <f>B7-C7</f>
        <v/>
      </c>
      <c r="E7" s="9">
        <f>IFERROR(D7/C7,0)</f>
        <v/>
      </c>
      <c r="F7" s="7" t="n"/>
    </row>
    <row r="8">
      <c r="A8" s="7" t="inlineStr">
        <is>
          <t>Investments</t>
        </is>
      </c>
      <c r="B8" s="8" t="n">
        <v>900000</v>
      </c>
      <c r="C8" s="8" t="n">
        <v>850000</v>
      </c>
      <c r="D8" s="8">
        <f>B8-C8</f>
        <v/>
      </c>
      <c r="E8" s="9">
        <f>IFERROR(D8/C8,0)</f>
        <v/>
      </c>
      <c r="F8" s="7" t="n"/>
    </row>
    <row r="9">
      <c r="A9" s="4" t="inlineStr">
        <is>
          <t>Total Non-current Assets</t>
        </is>
      </c>
      <c r="B9" s="5">
        <f>SUM(B6:B8)</f>
        <v/>
      </c>
      <c r="C9" s="5">
        <f>SUM(C6:C8)</f>
        <v/>
      </c>
      <c r="D9" s="5">
        <f>B9-C9</f>
        <v/>
      </c>
      <c r="E9" s="6">
        <f>IFERROR(D9/C9,0)</f>
        <v/>
      </c>
      <c r="F9" s="4" t="n"/>
    </row>
    <row r="10">
      <c r="A10" s="4" t="inlineStr">
        <is>
          <t>Current Assets</t>
        </is>
      </c>
      <c r="B10" s="5" t="n"/>
      <c r="C10" s="5" t="n"/>
      <c r="D10" s="5" t="n"/>
      <c r="E10" s="6" t="n"/>
      <c r="F10" s="4" t="n"/>
    </row>
    <row r="11">
      <c r="A11" s="7" t="inlineStr">
        <is>
          <t>Inventory</t>
        </is>
      </c>
      <c r="B11" s="8" t="n">
        <v>2800000</v>
      </c>
      <c r="C11" s="8" t="n">
        <v>2500000</v>
      </c>
      <c r="D11" s="8">
        <f>B11-C11</f>
        <v/>
      </c>
      <c r="E11" s="9">
        <f>IFERROR(D11/C11,0)</f>
        <v/>
      </c>
      <c r="F11" s="7" t="n"/>
    </row>
    <row r="12">
      <c r="A12" s="7" t="inlineStr">
        <is>
          <t>Trade Receivables</t>
        </is>
      </c>
      <c r="B12" s="8" t="n">
        <v>3200000</v>
      </c>
      <c r="C12" s="8" t="n">
        <v>2900000</v>
      </c>
      <c r="D12" s="8">
        <f>B12-C12</f>
        <v/>
      </c>
      <c r="E12" s="9">
        <f>IFERROR(D12/C12,0)</f>
        <v/>
      </c>
      <c r="F12" s="7" t="n"/>
    </row>
    <row r="13">
      <c r="A13" s="7" t="inlineStr">
        <is>
          <t>Cash &amp; Cash Equivalents</t>
        </is>
      </c>
      <c r="B13" s="8" t="n">
        <v>4100000</v>
      </c>
      <c r="C13" s="8" t="n">
        <v>3500000</v>
      </c>
      <c r="D13" s="8">
        <f>B13-C13</f>
        <v/>
      </c>
      <c r="E13" s="9">
        <f>IFERROR(D13/C13,0)</f>
        <v/>
      </c>
      <c r="F13" s="7" t="n"/>
    </row>
    <row r="14">
      <c r="A14" s="4" t="inlineStr">
        <is>
          <t>Total Current Assets</t>
        </is>
      </c>
      <c r="B14" s="5">
        <f>SUM(B11:B13)</f>
        <v/>
      </c>
      <c r="C14" s="5">
        <f>SUM(C11:C13)</f>
        <v/>
      </c>
      <c r="D14" s="5">
        <f>B14-C14</f>
        <v/>
      </c>
      <c r="E14" s="6">
        <f>IFERROR(D14/C14,0)</f>
        <v/>
      </c>
      <c r="F14" s="4" t="n"/>
    </row>
    <row r="15">
      <c r="A15" s="4" t="inlineStr">
        <is>
          <t>TOTAL ASSETS</t>
        </is>
      </c>
      <c r="B15" s="5">
        <f>B9+B14</f>
        <v/>
      </c>
      <c r="C15" s="5">
        <f>C9+C14</f>
        <v/>
      </c>
      <c r="D15" s="5">
        <f>B15-C15</f>
        <v/>
      </c>
      <c r="E15" s="6">
        <f>IFERROR(D15/C15,0)</f>
        <v/>
      </c>
      <c r="F15" s="4" t="n"/>
    </row>
    <row r="16">
      <c r="A16" s="4" t="inlineStr">
        <is>
          <t>Equity</t>
        </is>
      </c>
      <c r="B16" s="5" t="n"/>
      <c r="C16" s="5" t="n"/>
      <c r="D16" s="5" t="n"/>
      <c r="E16" s="6" t="n"/>
      <c r="F16" s="4" t="n"/>
    </row>
    <row r="17">
      <c r="A17" s="7" t="inlineStr">
        <is>
          <t>Share Capital</t>
        </is>
      </c>
      <c r="B17" s="8" t="n">
        <v>5000000</v>
      </c>
      <c r="C17" s="8" t="n">
        <v>5000000</v>
      </c>
      <c r="D17" s="8">
        <f>B17-C17</f>
        <v/>
      </c>
      <c r="E17" s="9">
        <f>IFERROR(D17/C17,0)</f>
        <v/>
      </c>
      <c r="F17" s="7" t="n"/>
    </row>
    <row r="18">
      <c r="A18" s="7" t="inlineStr">
        <is>
          <t>Retained Earnings</t>
        </is>
      </c>
      <c r="B18" s="8" t="n">
        <v>6700000</v>
      </c>
      <c r="C18" s="8" t="n">
        <v>5900000</v>
      </c>
      <c r="D18" s="8">
        <f>B18-C18</f>
        <v/>
      </c>
      <c r="E18" s="9">
        <f>IFERROR(D18/C18,0)</f>
        <v/>
      </c>
      <c r="F18" s="7" t="n"/>
    </row>
    <row r="19">
      <c r="A19" s="7" t="inlineStr">
        <is>
          <t>Other Reserves</t>
        </is>
      </c>
      <c r="B19" s="8" t="n">
        <v>500000</v>
      </c>
      <c r="C19" s="8" t="n">
        <v>450000</v>
      </c>
      <c r="D19" s="8">
        <f>B19-C19</f>
        <v/>
      </c>
      <c r="E19" s="9">
        <f>IFERROR(D19/C19,0)</f>
        <v/>
      </c>
      <c r="F19" s="7" t="n"/>
    </row>
    <row r="20">
      <c r="A20" s="4" t="inlineStr">
        <is>
          <t>Total Equity</t>
        </is>
      </c>
      <c r="B20" s="5">
        <f>SUM(B17:B19)</f>
        <v/>
      </c>
      <c r="C20" s="5">
        <f>SUM(C17:C19)</f>
        <v/>
      </c>
      <c r="D20" s="5">
        <f>B20-C20</f>
        <v/>
      </c>
      <c r="E20" s="6">
        <f>IFERROR(D20/C20,0)</f>
        <v/>
      </c>
      <c r="F20" s="4" t="n"/>
    </row>
    <row r="21">
      <c r="A21" s="4" t="inlineStr">
        <is>
          <t>Non-current Liabilities</t>
        </is>
      </c>
      <c r="B21" s="5" t="n"/>
      <c r="C21" s="5" t="n"/>
      <c r="D21" s="5" t="n"/>
      <c r="E21" s="6" t="n"/>
      <c r="F21" s="4" t="n"/>
    </row>
    <row r="22">
      <c r="A22" s="7" t="inlineStr">
        <is>
          <t>Long-term Borrowings</t>
        </is>
      </c>
      <c r="B22" s="8" t="n">
        <v>4200000</v>
      </c>
      <c r="C22" s="8" t="n">
        <v>3900000</v>
      </c>
      <c r="D22" s="8">
        <f>B22-C22</f>
        <v/>
      </c>
      <c r="E22" s="9">
        <f>IFERROR(D22/C22,0)</f>
        <v/>
      </c>
      <c r="F22" s="7" t="n"/>
    </row>
    <row r="23">
      <c r="A23" s="7" t="inlineStr">
        <is>
          <t>Lease Liabilities</t>
        </is>
      </c>
      <c r="B23" s="8" t="n">
        <v>800000</v>
      </c>
      <c r="C23" s="8" t="n">
        <v>750000</v>
      </c>
      <c r="D23" s="8">
        <f>B23-C23</f>
        <v/>
      </c>
      <c r="E23" s="9">
        <f>IFERROR(D23/C23,0)</f>
        <v/>
      </c>
      <c r="F23" s="7" t="n"/>
    </row>
    <row r="24">
      <c r="A24" s="4" t="inlineStr">
        <is>
          <t>Current Liabilities</t>
        </is>
      </c>
      <c r="B24" s="5" t="n"/>
      <c r="C24" s="5" t="n"/>
      <c r="D24" s="5" t="n"/>
      <c r="E24" s="6" t="n"/>
      <c r="F24" s="4" t="n"/>
    </row>
    <row r="25">
      <c r="A25" s="7" t="inlineStr">
        <is>
          <t>Trade Payables</t>
        </is>
      </c>
      <c r="B25" s="8" t="n">
        <v>2500000</v>
      </c>
      <c r="C25" s="8" t="n">
        <v>2200000</v>
      </c>
      <c r="D25" s="8">
        <f>B25-C25</f>
        <v/>
      </c>
      <c r="E25" s="9">
        <f>IFERROR(D25/C25,0)</f>
        <v/>
      </c>
      <c r="F25" s="7" t="n"/>
    </row>
    <row r="26">
      <c r="A26" s="7" t="inlineStr">
        <is>
          <t>Short-term Borrowings</t>
        </is>
      </c>
      <c r="B26" s="8" t="n">
        <v>1000000</v>
      </c>
      <c r="C26" s="8" t="n">
        <v>900000</v>
      </c>
      <c r="D26" s="8">
        <f>B26-C26</f>
        <v/>
      </c>
      <c r="E26" s="9">
        <f>IFERROR(D26/C26,0)</f>
        <v/>
      </c>
      <c r="F26" s="7" t="n"/>
    </row>
    <row r="27">
      <c r="A27" s="7" t="inlineStr">
        <is>
          <t>Total Liabilities</t>
        </is>
      </c>
      <c r="B27" s="8">
        <f>SUM(B22:B23,B26:B27)</f>
        <v/>
      </c>
      <c r="C27" s="8">
        <f>SUM(C22:C23,C26:C27)</f>
        <v/>
      </c>
      <c r="D27" s="8">
        <f>B27-C27</f>
        <v/>
      </c>
      <c r="E27" s="9">
        <f>IFERROR(D27/C27,0)</f>
        <v/>
      </c>
      <c r="F27" s="7" t="n"/>
    </row>
    <row r="28">
      <c r="A28" s="4" t="inlineStr">
        <is>
          <t>TOTAL EQUITY &amp; LIABILITIES</t>
        </is>
      </c>
      <c r="B28" s="5">
        <f>B20+B28</f>
        <v/>
      </c>
      <c r="C28" s="5">
        <f>C20+C28</f>
        <v/>
      </c>
      <c r="D28" s="5">
        <f>B28-C28</f>
        <v/>
      </c>
      <c r="E28" s="6">
        <f>IFERROR(D28/C28,0)</f>
        <v/>
      </c>
      <c r="F28" s="4" t="n"/>
    </row>
    <row r="29">
      <c r="A29" s="10" t="n"/>
      <c r="B29" s="10" t="n"/>
      <c r="C29" s="10" t="n"/>
      <c r="D29" s="10" t="n"/>
      <c r="E29" s="10" t="n"/>
      <c r="F29" s="10" t="n"/>
    </row>
    <row r="31">
      <c r="A31" s="7" t="inlineStr">
        <is>
          <t>Balance Check</t>
        </is>
      </c>
      <c r="B31" s="11">
        <f>B15-B29</f>
        <v/>
      </c>
      <c r="C31" s="7">
        <f>IF(ABS(B31)&lt;0.01,"BALANCED","CHECK REQUIRED")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2026-08-19T06:02:46Z</dcterms:created>
  <dcterms:modified xmlns:dcterms="http://purl.org/dc/terms/" xmlns:xsi="http://www.w3.org/2001/XMLSchema-instance" xsi:type="dcterms:W3CDTF">2026-08-19T06:02:46Z</dcterms:modified>
</cp:coreProperties>
</file>